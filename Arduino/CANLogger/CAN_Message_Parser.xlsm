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pjett\Desktop\"/>
    </mc:Choice>
  </mc:AlternateContent>
  <bookViews>
    <workbookView xWindow="0" yWindow="0" windowWidth="23040" windowHeight="9084"/>
  </bookViews>
  <sheets>
    <sheet name="Ful Log" sheetId="1" r:id="rId1"/>
    <sheet name="Reference" sheetId="4" r:id="rId2"/>
  </sheets>
  <definedNames>
    <definedName name="_xlnm._FilterDatabase" localSheetId="0" hidden="1">'Ful Log'!$A$1:$Q$362461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C2" i="1"/>
  <c r="D2" i="1"/>
  <c r="F2" i="1" s="1"/>
  <c r="H2" i="1"/>
  <c r="I2" i="1"/>
  <c r="J2" i="1"/>
  <c r="K2" i="1"/>
  <c r="L2" i="1"/>
  <c r="M2" i="1"/>
  <c r="N2" i="1"/>
  <c r="O2" i="1"/>
  <c r="E2" i="1" l="1"/>
  <c r="P2" i="1" s="1"/>
  <c r="G2" i="1"/>
  <c r="R2" i="1" l="1"/>
  <c r="S2" i="1" s="1"/>
  <c r="Q2" i="1"/>
</calcChain>
</file>

<file path=xl/sharedStrings.xml><?xml version="1.0" encoding="utf-8"?>
<sst xmlns="http://schemas.openxmlformats.org/spreadsheetml/2006/main" count="32" uniqueCount="32">
  <si>
    <t>Throttle Decimal</t>
  </si>
  <si>
    <t>Throttle Word (HEX)</t>
  </si>
  <si>
    <t>Message Type</t>
  </si>
  <si>
    <t>CobID (hex) high byte</t>
  </si>
  <si>
    <t>CobID (hex) low byte</t>
  </si>
  <si>
    <t>Cob ID (Decimal)</t>
  </si>
  <si>
    <t>CAN Message</t>
  </si>
  <si>
    <t>Node ID (Dec)</t>
  </si>
  <si>
    <t>CAN Open Message Type</t>
  </si>
  <si>
    <t>TXPDO1</t>
  </si>
  <si>
    <t>TXPDO2</t>
  </si>
  <si>
    <t>TXPDO3</t>
  </si>
  <si>
    <t>TXPDO4</t>
  </si>
  <si>
    <t>RXPDO1</t>
  </si>
  <si>
    <t>RXPDO2</t>
  </si>
  <si>
    <t>RXPDO3</t>
  </si>
  <si>
    <t>RXPDO4</t>
  </si>
  <si>
    <t>TXSDO</t>
  </si>
  <si>
    <t>RXSDO</t>
  </si>
  <si>
    <t>NODE GUARD</t>
  </si>
  <si>
    <t>EMERGENCY</t>
  </si>
  <si>
    <t>Time Stamp</t>
  </si>
  <si>
    <t>Byte 1</t>
  </si>
  <si>
    <t>Byte 2</t>
  </si>
  <si>
    <t>Byte 3</t>
  </si>
  <si>
    <t>Byte 4</t>
  </si>
  <si>
    <t>Byte 5</t>
  </si>
  <si>
    <t>Byte 6</t>
  </si>
  <si>
    <t>Byte 7</t>
  </si>
  <si>
    <t>Byte 8</t>
  </si>
  <si>
    <t>Steer Word</t>
  </si>
  <si>
    <t>NMT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</si>
</sst>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2026920</xdr:colOff>
          <xdr:row>0</xdr:row>
          <xdr:rowOff>68580</xdr:rowOff>
        </xdr:from>
        <xdr:to>
          <xdr:col>0</xdr:col>
          <xdr:colOff>3223260</xdr:colOff>
          <xdr:row>0</xdr:row>
          <xdr:rowOff>373380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"/>
  <sheetViews>
    <sheetView tabSelected="1" workbookViewId="0">
      <pane ySplit="1" topLeftCell="A2" activePane="bottomLeft" state="frozen"/>
      <selection activeCell="B1" sqref="B1"/>
      <selection pane="bottomLeft" activeCell="A7" sqref="A7"/>
    </sheetView>
  </sheetViews>
  <sheetFormatPr defaultRowHeight="14.4" x14ac:dyDescent="0.3"/>
  <cols>
    <col min="1" max="1" width="55.5546875" bestFit="1" customWidth="1"/>
    <col min="2" max="2" width="11.5546875" bestFit="1" customWidth="1"/>
    <col min="3" max="3" width="10.44140625" customWidth="1"/>
    <col min="4" max="4" width="11" customWidth="1"/>
    <col min="5" max="5" width="8.77734375" customWidth="1"/>
    <col min="6" max="6" width="9.77734375" customWidth="1"/>
    <col min="7" max="7" width="12.44140625" bestFit="1" customWidth="1"/>
    <col min="8" max="9" width="9" bestFit="1" customWidth="1"/>
    <col min="10" max="15" width="8.6640625" customWidth="1"/>
    <col min="16" max="16" width="19.77734375" bestFit="1" customWidth="1"/>
    <col min="17" max="17" width="16.88671875" bestFit="1" customWidth="1"/>
    <col min="18" max="18" width="12.21875" bestFit="1" customWidth="1"/>
  </cols>
  <sheetData>
    <row r="1" spans="1:19" ht="35.4" customHeight="1" x14ac:dyDescent="0.3">
      <c r="A1" t="s">
        <v>6</v>
      </c>
      <c r="B1" t="s">
        <v>21</v>
      </c>
      <c r="C1" t="s">
        <v>4</v>
      </c>
      <c r="D1" t="s">
        <v>3</v>
      </c>
      <c r="E1" t="s">
        <v>5</v>
      </c>
      <c r="F1" t="s">
        <v>7</v>
      </c>
      <c r="G1" t="s">
        <v>2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1</v>
      </c>
      <c r="Q1" t="s">
        <v>0</v>
      </c>
      <c r="R1" t="s">
        <v>30</v>
      </c>
    </row>
    <row r="2" spans="1:19" x14ac:dyDescent="0.3">
      <c r="B2" t="str">
        <f t="shared" ref="B2:B49" si="0">MID($A2,60,11)</f>
        <v/>
      </c>
      <c r="C2" t="str">
        <f t="shared" ref="C2:C50" si="1">MID(A2,11,2)</f>
        <v/>
      </c>
      <c r="D2" t="str">
        <f t="shared" ref="D2:D50" si="2">MID(A2,13,2)</f>
        <v/>
      </c>
      <c r="E2">
        <f t="shared" ref="E2:E50" si="3">HEX2DEC(CONCATENATE(C2,D2))</f>
        <v>0</v>
      </c>
      <c r="F2">
        <f t="shared" ref="F2:F50" si="4">_xlfn.BITAND(127,HEX2DEC(D2))</f>
        <v>0</v>
      </c>
      <c r="G2" t="str">
        <f>VLOOKUP(_xlfn.BITRSHIFT(E2,7),Reference!$A$2:$B$15,2,)</f>
        <v>NMT</v>
      </c>
      <c r="H2" t="str">
        <f t="shared" ref="H2:H49" si="5">MID($A2,27,2)</f>
        <v/>
      </c>
      <c r="I2" t="str">
        <f t="shared" ref="I2:I49" si="6">MID($A2,31,2)</f>
        <v/>
      </c>
      <c r="J2" t="str">
        <f t="shared" ref="J2:J49" si="7">MID($A2,35,2)</f>
        <v/>
      </c>
      <c r="K2" t="str">
        <f t="shared" ref="K2:K49" si="8">MID($A2,39,2)</f>
        <v/>
      </c>
      <c r="L2" t="str">
        <f t="shared" ref="L2:L49" si="9">MID($A2,43,2)</f>
        <v/>
      </c>
      <c r="M2" t="str">
        <f t="shared" ref="M2:M49" si="10">MID($A2,47,2)</f>
        <v/>
      </c>
      <c r="N2" t="str">
        <f t="shared" ref="N2:N49" si="11">MID($A2,51,2)</f>
        <v/>
      </c>
      <c r="O2" t="str">
        <f t="shared" ref="O2:O49" si="12">MID($A2,55,2)</f>
        <v/>
      </c>
      <c r="P2" t="str">
        <f t="shared" ref="P2:P50" si="13">IF(E2=480,CONCATENATE(K2,J2),"")</f>
        <v/>
      </c>
      <c r="Q2" t="str">
        <f t="shared" ref="Q2:Q50" si="14">IF(E2=480,MOD(HEX2DEC(P2)+2^15,2^16)-2^15,"")</f>
        <v/>
      </c>
      <c r="R2" t="str">
        <f t="shared" ref="R2:R50" si="15">IF(E2=590,CONCATENATE(K2,J2),"")</f>
        <v/>
      </c>
      <c r="S2" t="str">
        <f t="shared" ref="S2:S50" si="16">IF(E2=590,MOD(HEX2DEC(R2)+2^15,2^16)-2^15,"")</f>
        <v/>
      </c>
    </row>
  </sheetData>
  <autoFilter ref="A1:Q36246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2026920</xdr:colOff>
                <xdr:row>0</xdr:row>
                <xdr:rowOff>68580</xdr:rowOff>
              </from>
              <to>
                <xdr:col>0</xdr:col>
                <xdr:colOff>3223260</xdr:colOff>
                <xdr:row>0</xdr:row>
                <xdr:rowOff>373380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G13" sqref="G13"/>
    </sheetView>
  </sheetViews>
  <sheetFormatPr defaultRowHeight="14.4" x14ac:dyDescent="0.3"/>
  <cols>
    <col min="1" max="1" width="3" bestFit="1" customWidth="1"/>
    <col min="2" max="2" width="12.33203125" bestFit="1" customWidth="1"/>
  </cols>
  <sheetData>
    <row r="1" spans="1:2" ht="45.6" customHeight="1" x14ac:dyDescent="0.3">
      <c r="A1" s="1" t="s">
        <v>8</v>
      </c>
      <c r="B1" s="1"/>
    </row>
    <row r="2" spans="1:2" x14ac:dyDescent="0.3">
      <c r="A2">
        <v>0</v>
      </c>
      <c r="B2" t="s">
        <v>31</v>
      </c>
    </row>
    <row r="3" spans="1:2" x14ac:dyDescent="0.3">
      <c r="A3">
        <v>1</v>
      </c>
      <c r="B3" t="s">
        <v>20</v>
      </c>
    </row>
    <row r="4" spans="1:2" x14ac:dyDescent="0.3">
      <c r="A4">
        <v>3</v>
      </c>
      <c r="B4" t="s">
        <v>9</v>
      </c>
    </row>
    <row r="5" spans="1:2" x14ac:dyDescent="0.3">
      <c r="A5">
        <v>5</v>
      </c>
      <c r="B5" t="s">
        <v>10</v>
      </c>
    </row>
    <row r="6" spans="1:2" x14ac:dyDescent="0.3">
      <c r="A6">
        <v>7</v>
      </c>
      <c r="B6" t="s">
        <v>11</v>
      </c>
    </row>
    <row r="7" spans="1:2" x14ac:dyDescent="0.3">
      <c r="A7">
        <v>9</v>
      </c>
      <c r="B7" t="s">
        <v>12</v>
      </c>
    </row>
    <row r="8" spans="1:2" x14ac:dyDescent="0.3">
      <c r="A8">
        <v>4</v>
      </c>
      <c r="B8" t="s">
        <v>13</v>
      </c>
    </row>
    <row r="9" spans="1:2" x14ac:dyDescent="0.3">
      <c r="A9">
        <v>6</v>
      </c>
      <c r="B9" t="s">
        <v>14</v>
      </c>
    </row>
    <row r="10" spans="1:2" x14ac:dyDescent="0.3">
      <c r="A10">
        <v>8</v>
      </c>
      <c r="B10" t="s">
        <v>15</v>
      </c>
    </row>
    <row r="11" spans="1:2" x14ac:dyDescent="0.3">
      <c r="A11">
        <v>10</v>
      </c>
      <c r="B11" t="s">
        <v>16</v>
      </c>
    </row>
    <row r="12" spans="1:2" x14ac:dyDescent="0.3">
      <c r="A12">
        <v>11</v>
      </c>
      <c r="B12" t="s">
        <v>17</v>
      </c>
    </row>
    <row r="13" spans="1:2" x14ac:dyDescent="0.3">
      <c r="A13">
        <v>12</v>
      </c>
      <c r="B13" t="s">
        <v>18</v>
      </c>
    </row>
    <row r="14" spans="1:2" x14ac:dyDescent="0.3">
      <c r="A14">
        <v>14</v>
      </c>
      <c r="B14" t="s">
        <v>19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Ful Log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Jett, Peter</dc:creator>
  <cp:lastModifiedBy>Jett, Peter</cp:lastModifiedBy>
  <dcterms:created xsi:type="dcterms:W3CDTF">2016-09-13T13:58:00Z</dcterms:created>
  <dcterms:modified xsi:type="dcterms:W3CDTF">2016-09-30T16:39:34Z</dcterms:modified>
</cp:coreProperties>
</file>